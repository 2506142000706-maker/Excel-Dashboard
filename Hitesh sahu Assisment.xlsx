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4e82fb39cbcf0/Documents/"/>
    </mc:Choice>
  </mc:AlternateContent>
  <xr:revisionPtr revIDLastSave="0" documentId="8_{6B8B6CC0-AE1D-41F0-BA82-3BDF5242B476}" xr6:coauthVersionLast="47" xr6:coauthVersionMax="47" xr10:uidLastSave="{00000000-0000-0000-0000-000000000000}"/>
  <bookViews>
    <workbookView xWindow="-110" yWindow="-110" windowWidth="19420" windowHeight="12220" xr2:uid="{882E8FB3-3EA2-4B69-B3AA-CED72335D78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2" l="1"/>
  <c r="O16" i="2"/>
  <c r="O17" i="2"/>
  <c r="O18" i="2"/>
  <c r="O19" i="2"/>
  <c r="O14" i="2"/>
  <c r="N15" i="2"/>
  <c r="N16" i="2"/>
  <c r="N17" i="2"/>
  <c r="N18" i="2"/>
  <c r="N19" i="2"/>
  <c r="N14" i="2"/>
  <c r="M15" i="2"/>
  <c r="M16" i="2"/>
  <c r="M17" i="2"/>
  <c r="M18" i="2"/>
  <c r="M19" i="2"/>
  <c r="M14" i="2"/>
  <c r="A7" i="2"/>
  <c r="A7" i="2" a="1"/>
  <c r="A3" i="2"/>
  <c r="A3" i="2" a="1"/>
  <c r="A2" i="2"/>
  <c r="A2" i="2" a="1"/>
  <c r="A8" i="2"/>
  <c r="A8" i="2" a="1"/>
  <c r="A1" i="2"/>
  <c r="A1" i="2" a="1"/>
  <c r="A4" i="2"/>
  <c r="A4" i="2" a="1"/>
  <c r="A5" i="2"/>
  <c r="A5" i="2" a="1"/>
  <c r="A6" i="2"/>
  <c r="A6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<sst xmlns="http://schemas.openxmlformats.org/spreadsheetml/2006/main" count="98" uniqueCount="71">
  <si>
    <t>Name</t>
  </si>
  <si>
    <t>Email</t>
  </si>
  <si>
    <t>Phone</t>
  </si>
  <si>
    <t>Age</t>
  </si>
  <si>
    <t>City</t>
  </si>
  <si>
    <t>Salary</t>
  </si>
  <si>
    <t>Joining Date</t>
  </si>
  <si>
    <t>Department</t>
  </si>
  <si>
    <t xml:space="preserve">Harsh </t>
  </si>
  <si>
    <t xml:space="preserve"> harsh@gmail.com </t>
  </si>
  <si>
    <t xml:space="preserve"> Ahmedabad </t>
  </si>
  <si>
    <t xml:space="preserve"> 12-01-2023 </t>
  </si>
  <si>
    <t xml:space="preserve"> Dev</t>
  </si>
  <si>
    <t>rahul</t>
  </si>
  <si>
    <t>rahul123@gmail</t>
  </si>
  <si>
    <t xml:space="preserve"> 98765 43211</t>
  </si>
  <si>
    <t xml:space="preserve"> mumbai</t>
  </si>
  <si>
    <t xml:space="preserve"> 2023/02/15</t>
  </si>
  <si>
    <t xml:space="preserve"> developer</t>
  </si>
  <si>
    <t xml:space="preserve"> </t>
  </si>
  <si>
    <t xml:space="preserve"> Delhi </t>
  </si>
  <si>
    <t>AMIT</t>
  </si>
  <si>
    <t xml:space="preserve"> amit@GMAIL.COM</t>
  </si>
  <si>
    <t xml:space="preserve"> twenty five</t>
  </si>
  <si>
    <t xml:space="preserve"> pune </t>
  </si>
  <si>
    <t xml:space="preserve"> 01-04-23</t>
  </si>
  <si>
    <t xml:space="preserve"> DEV</t>
  </si>
  <si>
    <t>Sneha</t>
  </si>
  <si>
    <t xml:space="preserve"> sneha@gmail.com </t>
  </si>
  <si>
    <t xml:space="preserve"> Bangalore </t>
  </si>
  <si>
    <t xml:space="preserve"> 2023-05-20 </t>
  </si>
  <si>
    <t xml:space="preserve"> Design</t>
  </si>
  <si>
    <t xml:space="preserve">Karan Mehta </t>
  </si>
  <si>
    <t xml:space="preserve"> karan@gmail.com</t>
  </si>
  <si>
    <t xml:space="preserve"> 987654321O</t>
  </si>
  <si>
    <t xml:space="preserve"> ahmedabad</t>
  </si>
  <si>
    <t xml:space="preserve"> 2023.06.10 </t>
  </si>
  <si>
    <t xml:space="preserve"> dev</t>
  </si>
  <si>
    <t>Rohit</t>
  </si>
  <si>
    <t xml:space="preserve"> 2023/07/01 </t>
  </si>
  <si>
    <t xml:space="preserve"> Sales</t>
  </si>
  <si>
    <t>Vikas</t>
  </si>
  <si>
    <t>vikas@gmailcom</t>
  </si>
  <si>
    <t xml:space="preserve"> Chennai </t>
  </si>
  <si>
    <t xml:space="preserve"> 2023/09/12 </t>
  </si>
  <si>
    <t xml:space="preserve"> SALES</t>
  </si>
  <si>
    <t xml:space="preserve">Neha </t>
  </si>
  <si>
    <t xml:space="preserve"> neha@gmail.com </t>
  </si>
  <si>
    <t xml:space="preserve"> Kolkata </t>
  </si>
  <si>
    <t xml:space="preserve"> 12/10/2023 </t>
  </si>
  <si>
    <t xml:space="preserve"> design</t>
  </si>
  <si>
    <t>N/A</t>
  </si>
  <si>
    <t>Harsh</t>
  </si>
  <si>
    <t>Bhopal</t>
  </si>
  <si>
    <t>Amit</t>
  </si>
  <si>
    <t>Delhi</t>
  </si>
  <si>
    <t>Riya</t>
  </si>
  <si>
    <t>Mumbai</t>
  </si>
  <si>
    <t>Karan</t>
  </si>
  <si>
    <t>Pune</t>
  </si>
  <si>
    <t>Simran</t>
  </si>
  <si>
    <t>Indore</t>
  </si>
  <si>
    <t>Anjali</t>
  </si>
  <si>
    <t>Jaipur</t>
  </si>
  <si>
    <t xml:space="preserve"> COUNTA(A1:C100)&gt;0)</t>
  </si>
  <si>
    <t>(A1:F12)</t>
  </si>
  <si>
    <t>EmpID</t>
  </si>
  <si>
    <t>Tech</t>
  </si>
  <si>
    <t>HR</t>
  </si>
  <si>
    <t>Design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</si>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</sst>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6"/>
      <color theme="1"/>
      <name val="Arial"/>
      <family val="2"/>
    </font>
    <font>
      <sz val="16"/>
      <color theme="1"/>
      <name val="Aptos Narrow"/>
      <family val="2"/>
      <scheme val="minor"/>
    </font>
    <font>
      <b/>
      <sz val="18"/>
      <color theme="1"/>
      <name val="Arial"/>
      <family val="2"/>
    </font>
    <font>
      <b/>
      <sz val="18"/>
      <color theme="1"/>
      <name val="Aptos Narrow"/>
      <family val="2"/>
      <scheme val="minor"/>
    </font>
    <font>
      <sz val="18"/>
      <color theme="1"/>
      <name val="Agency FB"/>
      <family val="2"/>
    </font>
    <font>
      <sz val="16"/>
      <color theme="1"/>
      <name val="Agency FB"/>
      <family val="2"/>
    </font>
    <font>
      <sz val="11"/>
      <color theme="1"/>
      <name val="Agency FB"/>
      <family val="2"/>
    </font>
    <font>
      <b/>
      <sz val="18"/>
      <color theme="1"/>
      <name val="Agency FB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/>
    </xf>
    <xf numFmtId="0" fontId="0" fillId="0" borderId="0" xfId="0" applyBorder="1"/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vertical="center"/>
    </xf>
    <xf numFmtId="0" fontId="8" fillId="0" borderId="1" xfId="0" applyFont="1" applyBorder="1"/>
    <xf numFmtId="0" fontId="8" fillId="0" borderId="1" xfId="0" applyFont="1" applyBorder="1" applyAlignment="1">
      <alignment vertical="center"/>
    </xf>
    <xf numFmtId="0" fontId="7" fillId="3" borderId="1" xfId="0" applyFont="1" applyFill="1" applyBorder="1"/>
    <xf numFmtId="0" fontId="1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1" fillId="0" borderId="4" xfId="0" applyFont="1" applyFill="1" applyBorder="1" applyAlignment="1">
      <alignment horizontal="left"/>
    </xf>
    <xf numFmtId="0" fontId="4" fillId="0" borderId="0" xfId="0" applyFont="1"/>
    <xf numFmtId="0" fontId="4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9" fillId="0" borderId="0" xfId="0" applyFont="1"/>
    <xf numFmtId="0" fontId="8" fillId="0" borderId="1" xfId="0" applyFont="1" applyBorder="1" applyAlignment="1">
      <alignment horizontal="left"/>
    </xf>
    <xf numFmtId="0" fontId="8" fillId="0" borderId="0" xfId="0" applyFont="1"/>
    <xf numFmtId="0" fontId="10" fillId="0" borderId="6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Fill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3" xfId="0" applyFont="1" applyFill="1" applyBorder="1" applyAlignment="1">
      <alignment horizontal="left"/>
    </xf>
    <xf numFmtId="0" fontId="7" fillId="0" borderId="5" xfId="0" applyFont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1" fillId="0" borderId="9" xfId="0" applyFont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 patternType="solid">
          <fgColor indexed="64"/>
          <bgColor theme="3" tint="0.74999237037263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gency FB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gency FB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gency FB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gency FB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gency FB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gency FB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gency FB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gency FB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gency FB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gency FB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gency FB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gency FB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gency FB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gency FB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99CAD4-F15D-4225-A684-A79B926D50A8}" name="Table1" displayName="Table1" ref="K1:O7" totalsRowShown="0" headerRowDxfId="19" dataDxfId="18" headerRowBorderDxfId="26" tableBorderDxfId="27" totalsRowBorderDxfId="25">
  <autoFilter ref="K1:O7" xr:uid="{4499CAD4-F15D-4225-A684-A79B926D50A8}"/>
  <tableColumns count="5">
    <tableColumn id="1" xr3:uid="{41A04AA6-FA3B-4D52-AF7B-119450AA75B2}" name="EmpID" dataDxfId="24"/>
    <tableColumn id="2" xr3:uid="{D2E0662A-6409-4B49-978A-DF9B590414BD}" name="Name" dataDxfId="23"/>
    <tableColumn id="3" xr3:uid="{FDCC2AD4-8A7B-4FC1-A7BD-3F619EF8256D}" name="Department" dataDxfId="22"/>
    <tableColumn id="4" xr3:uid="{830A1FCF-4C96-478A-A93E-917DB1797EFA}" name="Salary" dataDxfId="21"/>
    <tableColumn id="5" xr3:uid="{396721D3-B53B-44BA-9DFA-FB797A5935D0}" name="Bonus" dataDxfId="20"/>
  </tableColumns>
  <tableStyleInfo name="TableStyleDark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58868E-316F-4DF1-AFC4-D9DD116C40E6}" name="Table2" displayName="Table2" ref="K13:O19" totalsRowShown="0" headerRowDxfId="10" dataDxfId="11" tableBorderDxfId="17">
  <autoFilter ref="K13:O19" xr:uid="{DE58868E-316F-4DF1-AFC4-D9DD116C40E6}"/>
  <tableColumns count="5">
    <tableColumn id="1" xr3:uid="{F71E5973-FC15-434C-9A77-F4D1BCE2F9DE}" name="EmpID" dataDxfId="16"/>
    <tableColumn id="2" xr3:uid="{71C70857-4876-497D-87AF-B9FD53783080}" name="Name" dataDxfId="15"/>
    <tableColumn id="3" xr3:uid="{342A77C2-6DD9-4819-842A-E2BD28F10873}" name="Department" dataDxfId="14">
      <calculatedColumnFormula>VLOOKUP(K14,K1:N7,3,0)</calculatedColumnFormula>
    </tableColumn>
    <tableColumn id="4" xr3:uid="{A627DA57-F37D-48CD-A884-662ED36ACEAF}" name="Salary" dataDxfId="13">
      <calculatedColumnFormula>VLOOKUP(K14,K1:N7,4,0)</calculatedColumnFormula>
    </tableColumn>
    <tableColumn id="5" xr3:uid="{C3E30DB7-3EC2-47B2-9F0F-2BAA4A80A4E0}" name="Bonus" dataDxfId="12">
      <calculatedColumnFormula>VLOOKUP(K14,K1:O7,5,0)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ECE486-65D6-40C2-B014-822D2EE8F259}" name="Table36" displayName="Table36" ref="S3:Z11" totalsRowShown="0" headerRowDxfId="9" tableBorderDxfId="8">
  <autoFilter ref="S3:Z11" xr:uid="{41ECE486-65D6-40C2-B014-822D2EE8F259}"/>
  <tableColumns count="8">
    <tableColumn id="2" xr3:uid="{53CF205A-C0A8-45B4-A5CD-E52786822E49}" name="Name" dataDxfId="7"/>
    <tableColumn id="3" xr3:uid="{1B86DA77-C592-4529-985A-A5BDEE64B4C1}" name="Email" dataDxfId="6"/>
    <tableColumn id="4" xr3:uid="{59D13DA4-D90C-41B7-BCCF-6745AB2EA8E7}" name="Phone" dataDxfId="5"/>
    <tableColumn id="5" xr3:uid="{BA6574E8-9D12-440F-8F2B-6BECCB53BC5D}" name="Age" dataDxfId="4"/>
    <tableColumn id="6" xr3:uid="{FCD82646-B012-4217-BD17-1EF038CC2C93}" name="City" dataDxfId="3"/>
    <tableColumn id="7" xr3:uid="{A1ED8625-DFC0-4F43-87DE-4373125279FC}" name="Salary" dataDxfId="2"/>
    <tableColumn id="8" xr3:uid="{6CB51262-E741-4B6F-AB43-3507BD575A6E}" name="Joining Date" dataDxfId="1"/>
    <tableColumn id="9" xr3:uid="{D6A89C23-2CBC-4723-9668-490C42E76C7D}" name="Department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DA89-6677-4719-BC7A-D38737241D3D}">
  <dimension ref="A1:Z20"/>
  <sheetViews>
    <sheetView tabSelected="1" topLeftCell="H1" zoomScale="50" workbookViewId="0">
      <selection activeCell="R8" sqref="R8"/>
    </sheetView>
  </sheetViews>
  <sheetFormatPr defaultRowHeight="14.5" x14ac:dyDescent="0.35"/>
  <cols>
    <col min="2" max="2" width="22.26953125" hidden="1" customWidth="1"/>
    <col min="3" max="3" width="7.453125" bestFit="1" customWidth="1"/>
    <col min="4" max="4" width="4.453125" bestFit="1" customWidth="1"/>
    <col min="5" max="5" width="8" bestFit="1" customWidth="1"/>
    <col min="11" max="11" width="11.90625" customWidth="1"/>
    <col min="12" max="12" width="10.81640625" customWidth="1"/>
    <col min="13" max="13" width="19.1796875" customWidth="1"/>
    <col min="14" max="14" width="11.6328125" customWidth="1"/>
    <col min="15" max="15" width="11.36328125" customWidth="1"/>
    <col min="16" max="16" width="4.1796875" customWidth="1"/>
    <col min="17" max="17" width="12.08984375" customWidth="1"/>
    <col min="18" max="19" width="18.6328125" bestFit="1" customWidth="1"/>
    <col min="20" max="20" width="16.26953125" customWidth="1"/>
    <col min="21" max="21" width="18.08984375" bestFit="1" customWidth="1"/>
    <col min="22" max="22" width="12.453125" bestFit="1" customWidth="1"/>
    <col min="23" max="23" width="15.7265625" bestFit="1" customWidth="1"/>
    <col min="24" max="24" width="14.6328125" bestFit="1" customWidth="1"/>
    <col min="25" max="25" width="22.453125" bestFit="1" customWidth="1"/>
    <col min="26" max="26" width="22.6328125" bestFit="1" customWidth="1"/>
  </cols>
  <sheetData>
    <row r="1" spans="1:26" ht="23.5" x14ac:dyDescent="0.5">
      <c r="A1" cm="1">
        <f t="array" aca="1" ref="A1" ca="1">_xlfn._xlws.FILTER(A1:C100, COUNTA(A1:C100)&gt;0)</f>
        <v>0</v>
      </c>
      <c r="B1" t="s">
        <v>65</v>
      </c>
      <c r="C1" s="12" t="s">
        <v>64</v>
      </c>
      <c r="D1" s="12" t="s">
        <v>3</v>
      </c>
      <c r="E1" s="12" t="s">
        <v>4</v>
      </c>
      <c r="K1" s="23" t="s">
        <v>66</v>
      </c>
      <c r="L1" s="24" t="s">
        <v>0</v>
      </c>
      <c r="M1" s="24" t="s">
        <v>7</v>
      </c>
      <c r="N1" s="24" t="s">
        <v>5</v>
      </c>
      <c r="O1" s="25" t="s">
        <v>70</v>
      </c>
      <c r="Q1" s="13"/>
      <c r="R1" s="34"/>
      <c r="S1" s="15"/>
    </row>
    <row r="2" spans="1:26" ht="22" x14ac:dyDescent="0.5">
      <c r="A2" cm="1">
        <f t="array" aca="1" ref="A2" ca="1">_xlfn._xlws.FILTER(A2:C101, COUNTA(A2:C101)&gt;0)</f>
        <v>0</v>
      </c>
      <c r="C2" s="10" t="s">
        <v>54</v>
      </c>
      <c r="D2" s="10">
        <v>24</v>
      </c>
      <c r="E2" s="10" t="s">
        <v>55</v>
      </c>
      <c r="K2" s="26">
        <v>101</v>
      </c>
      <c r="L2" s="21" t="s">
        <v>52</v>
      </c>
      <c r="M2" s="21" t="s">
        <v>67</v>
      </c>
      <c r="N2" s="21">
        <v>50000</v>
      </c>
      <c r="O2" s="27">
        <v>10000</v>
      </c>
      <c r="Q2" s="14"/>
      <c r="R2" s="35"/>
      <c r="S2" s="36"/>
      <c r="T2" s="36"/>
      <c r="U2" s="36"/>
      <c r="V2" s="37"/>
      <c r="W2" s="37"/>
      <c r="X2" s="37"/>
    </row>
    <row r="3" spans="1:26" ht="46.5" x14ac:dyDescent="0.55000000000000004">
      <c r="A3" cm="1">
        <f t="array" aca="1" ref="A3" ca="1">_xlfn._xlws.FILTER(A3:C102, COUNTA(A3:C102)&gt;0)</f>
        <v>0</v>
      </c>
      <c r="C3" s="10" t="s">
        <v>62</v>
      </c>
      <c r="D3" s="10">
        <v>25</v>
      </c>
      <c r="E3" s="11" t="s">
        <v>63</v>
      </c>
      <c r="K3" s="26">
        <v>102</v>
      </c>
      <c r="L3" s="21" t="s">
        <v>54</v>
      </c>
      <c r="M3" s="21" t="s">
        <v>68</v>
      </c>
      <c r="N3" s="21">
        <v>40000</v>
      </c>
      <c r="O3" s="27">
        <v>5000</v>
      </c>
      <c r="Q3" s="14"/>
      <c r="R3" s="35"/>
      <c r="S3" s="4" t="s">
        <v>0</v>
      </c>
      <c r="T3" s="5" t="s">
        <v>1</v>
      </c>
      <c r="U3" s="5" t="s">
        <v>2</v>
      </c>
      <c r="V3" s="5" t="s">
        <v>3</v>
      </c>
      <c r="W3" s="5" t="s">
        <v>4</v>
      </c>
      <c r="X3" s="6" t="s">
        <v>5</v>
      </c>
      <c r="Y3" s="6" t="s">
        <v>6</v>
      </c>
      <c r="Z3" s="33" t="s">
        <v>7</v>
      </c>
    </row>
    <row r="4" spans="1:26" ht="101" x14ac:dyDescent="0.5">
      <c r="A4" cm="1">
        <f t="array" aca="1" ref="A4" ca="1">_xlfn._xlws.FILTER(A4:C103, COUNTA(A4:C103)&gt;0)</f>
        <v>0</v>
      </c>
      <c r="C4" s="10" t="s">
        <v>52</v>
      </c>
      <c r="D4" s="10">
        <v>22</v>
      </c>
      <c r="E4" s="10" t="s">
        <v>53</v>
      </c>
      <c r="F4" s="8"/>
      <c r="G4" s="8"/>
      <c r="H4" s="8"/>
      <c r="I4" s="8"/>
      <c r="K4" s="26">
        <v>103</v>
      </c>
      <c r="L4" s="21" t="s">
        <v>56</v>
      </c>
      <c r="M4" s="21" t="s">
        <v>69</v>
      </c>
      <c r="N4" s="21">
        <v>45000</v>
      </c>
      <c r="O4" s="27">
        <v>7000</v>
      </c>
      <c r="Q4" s="14"/>
      <c r="R4" s="35"/>
      <c r="S4" s="1" t="s">
        <v>27</v>
      </c>
      <c r="T4" s="2" t="s">
        <v>28</v>
      </c>
      <c r="U4" s="2">
        <v>987654321</v>
      </c>
      <c r="V4" s="2">
        <v>24</v>
      </c>
      <c r="W4" s="2" t="s">
        <v>29</v>
      </c>
      <c r="X4" s="3" t="s">
        <v>19</v>
      </c>
      <c r="Y4" s="3" t="s">
        <v>30</v>
      </c>
      <c r="Z4" s="17" t="s">
        <v>31</v>
      </c>
    </row>
    <row r="5" spans="1:26" ht="121" x14ac:dyDescent="0.5">
      <c r="A5" cm="1">
        <f t="array" aca="1" ref="A5" ca="1">_xlfn._xlws.FILTER(A5:C104, COUNTA(A5:C104)&gt;0)</f>
        <v>0</v>
      </c>
      <c r="C5" s="10" t="s">
        <v>58</v>
      </c>
      <c r="D5" s="10">
        <v>23</v>
      </c>
      <c r="E5" s="11" t="s">
        <v>59</v>
      </c>
      <c r="F5" s="8"/>
      <c r="G5" s="8"/>
      <c r="H5" s="8"/>
      <c r="I5" s="8"/>
      <c r="K5" s="26">
        <v>104</v>
      </c>
      <c r="L5" s="21" t="s">
        <v>58</v>
      </c>
      <c r="M5" s="21" t="s">
        <v>67</v>
      </c>
      <c r="N5" s="21">
        <v>55000</v>
      </c>
      <c r="O5" s="28">
        <v>10000</v>
      </c>
      <c r="Q5" s="14"/>
      <c r="R5" s="35"/>
      <c r="S5" s="1" t="s">
        <v>21</v>
      </c>
      <c r="T5" s="2" t="s">
        <v>22</v>
      </c>
      <c r="U5" s="2">
        <v>9123456789</v>
      </c>
      <c r="V5" s="2" t="s">
        <v>23</v>
      </c>
      <c r="W5" s="2" t="s">
        <v>24</v>
      </c>
      <c r="X5" s="3">
        <v>70000</v>
      </c>
      <c r="Y5" s="3" t="s">
        <v>25</v>
      </c>
      <c r="Z5" s="17" t="s">
        <v>26</v>
      </c>
    </row>
    <row r="6" spans="1:26" ht="101" x14ac:dyDescent="0.5">
      <c r="A6" cm="1">
        <f t="array" aca="1" ref="A6" ca="1">_xlfn._xlws.FILTER(A6:C105, COUNTA(A6:C105)&gt;0)</f>
        <v>0</v>
      </c>
      <c r="C6" s="10" t="s">
        <v>56</v>
      </c>
      <c r="D6" s="10">
        <v>21</v>
      </c>
      <c r="E6" s="11" t="s">
        <v>57</v>
      </c>
      <c r="F6" s="8"/>
      <c r="G6" s="8"/>
      <c r="H6" s="8"/>
      <c r="I6" s="8"/>
      <c r="K6" s="26">
        <v>105</v>
      </c>
      <c r="L6" s="21" t="s">
        <v>60</v>
      </c>
      <c r="M6" s="21" t="s">
        <v>68</v>
      </c>
      <c r="N6" s="21">
        <v>42000</v>
      </c>
      <c r="O6" s="28">
        <v>5000</v>
      </c>
      <c r="Q6" s="14"/>
      <c r="R6" s="35"/>
      <c r="S6" s="1" t="s">
        <v>8</v>
      </c>
      <c r="T6" s="2" t="s">
        <v>9</v>
      </c>
      <c r="U6" s="2">
        <v>9876543210</v>
      </c>
      <c r="V6" s="2">
        <v>23</v>
      </c>
      <c r="W6" s="2" t="s">
        <v>10</v>
      </c>
      <c r="X6" s="3">
        <v>50000</v>
      </c>
      <c r="Y6" s="3" t="s">
        <v>11</v>
      </c>
      <c r="Z6" s="17" t="s">
        <v>12</v>
      </c>
    </row>
    <row r="7" spans="1:26" ht="101" x14ac:dyDescent="0.5">
      <c r="A7" cm="1">
        <f t="array" aca="1" ref="A7" ca="1">_xlfn._xlws.FILTER(A7:C106, COUNTA(A7:C106)&gt;0)</f>
        <v>0</v>
      </c>
      <c r="C7" s="10" t="s">
        <v>38</v>
      </c>
      <c r="D7" s="10">
        <v>25</v>
      </c>
      <c r="E7" s="11" t="s">
        <v>55</v>
      </c>
      <c r="F7" s="8"/>
      <c r="G7" s="8"/>
      <c r="H7" s="8"/>
      <c r="I7" s="8"/>
      <c r="K7" s="29">
        <v>106</v>
      </c>
      <c r="L7" s="30" t="s">
        <v>38</v>
      </c>
      <c r="M7" s="30" t="s">
        <v>67</v>
      </c>
      <c r="N7" s="30">
        <v>60000</v>
      </c>
      <c r="O7" s="31">
        <v>10000</v>
      </c>
      <c r="Q7" s="14"/>
      <c r="R7" s="35"/>
      <c r="S7" s="1" t="s">
        <v>32</v>
      </c>
      <c r="T7" s="2" t="s">
        <v>33</v>
      </c>
      <c r="U7" s="2" t="s">
        <v>34</v>
      </c>
      <c r="V7" s="2">
        <v>26</v>
      </c>
      <c r="W7" s="2" t="s">
        <v>35</v>
      </c>
      <c r="X7" s="3">
        <v>55000</v>
      </c>
      <c r="Y7" s="3" t="s">
        <v>36</v>
      </c>
      <c r="Z7" s="17" t="s">
        <v>37</v>
      </c>
    </row>
    <row r="8" spans="1:26" ht="101" x14ac:dyDescent="0.5">
      <c r="A8" cm="1">
        <f t="array" aca="1" ref="A8" ca="1">_xlfn._xlws.FILTER(A8:C107, COUNTA(A8:C107)&gt;0)</f>
        <v>0</v>
      </c>
      <c r="C8" s="10" t="s">
        <v>60</v>
      </c>
      <c r="D8" s="10">
        <v>22</v>
      </c>
      <c r="E8" s="11" t="s">
        <v>61</v>
      </c>
      <c r="F8" s="8"/>
      <c r="G8" s="8"/>
      <c r="H8" s="8"/>
      <c r="I8" s="8"/>
      <c r="K8" s="16"/>
      <c r="L8" s="16"/>
      <c r="M8" s="16"/>
      <c r="N8" s="16"/>
      <c r="O8" s="16"/>
      <c r="R8" s="35"/>
      <c r="S8" s="1" t="s">
        <v>46</v>
      </c>
      <c r="T8" s="2" t="s">
        <v>47</v>
      </c>
      <c r="U8" s="2">
        <v>9876543215</v>
      </c>
      <c r="V8" s="2">
        <v>23</v>
      </c>
      <c r="W8" s="2" t="s">
        <v>48</v>
      </c>
      <c r="X8" s="3">
        <v>51000</v>
      </c>
      <c r="Y8" s="3" t="s">
        <v>49</v>
      </c>
      <c r="Z8" s="17" t="s">
        <v>50</v>
      </c>
    </row>
    <row r="9" spans="1:26" ht="101" x14ac:dyDescent="0.5">
      <c r="E9" s="9"/>
      <c r="F9" s="8"/>
      <c r="G9" s="8"/>
      <c r="H9" s="8"/>
      <c r="I9" s="8"/>
      <c r="R9" s="35"/>
      <c r="S9" s="1" t="s">
        <v>13</v>
      </c>
      <c r="T9" s="2" t="s">
        <v>14</v>
      </c>
      <c r="U9" s="2" t="s">
        <v>15</v>
      </c>
      <c r="V9" s="2">
        <v>27</v>
      </c>
      <c r="W9" s="2" t="s">
        <v>16</v>
      </c>
      <c r="X9" s="3">
        <v>60000</v>
      </c>
      <c r="Y9" s="3" t="s">
        <v>17</v>
      </c>
      <c r="Z9" s="17" t="s">
        <v>18</v>
      </c>
    </row>
    <row r="10" spans="1:26" ht="49" customHeight="1" x14ac:dyDescent="0.5">
      <c r="E10" s="9"/>
      <c r="F10" s="8"/>
      <c r="G10" s="8"/>
      <c r="H10" s="8"/>
      <c r="I10" s="8"/>
      <c r="S10" s="1" t="s">
        <v>38</v>
      </c>
      <c r="T10" s="2" t="s">
        <v>51</v>
      </c>
      <c r="U10" s="2">
        <v>9876543212</v>
      </c>
      <c r="V10" s="2">
        <v>28</v>
      </c>
      <c r="W10" s="2" t="s">
        <v>20</v>
      </c>
      <c r="X10" s="3">
        <v>62000</v>
      </c>
      <c r="Y10" s="3" t="s">
        <v>39</v>
      </c>
      <c r="Z10" s="17" t="s">
        <v>40</v>
      </c>
    </row>
    <row r="11" spans="1:26" ht="81" x14ac:dyDescent="0.5">
      <c r="E11" s="9"/>
      <c r="F11" s="8"/>
      <c r="G11" s="8"/>
      <c r="H11" s="8"/>
      <c r="I11" s="8"/>
      <c r="S11" s="1" t="s">
        <v>41</v>
      </c>
      <c r="T11" s="2" t="s">
        <v>42</v>
      </c>
      <c r="U11" s="2">
        <v>9876543214</v>
      </c>
      <c r="V11" s="2">
        <v>30</v>
      </c>
      <c r="W11" s="2" t="s">
        <v>43</v>
      </c>
      <c r="X11" s="3">
        <v>52000</v>
      </c>
      <c r="Y11" s="3" t="s">
        <v>44</v>
      </c>
      <c r="Z11" s="17" t="s">
        <v>45</v>
      </c>
    </row>
    <row r="12" spans="1:26" x14ac:dyDescent="0.35">
      <c r="E12" s="7"/>
    </row>
    <row r="13" spans="1:26" ht="23.5" x14ac:dyDescent="0.5">
      <c r="K13" s="32" t="s">
        <v>66</v>
      </c>
      <c r="L13" s="18" t="s">
        <v>0</v>
      </c>
      <c r="M13" s="18" t="s">
        <v>7</v>
      </c>
      <c r="N13" s="18" t="s">
        <v>5</v>
      </c>
      <c r="O13" s="19" t="s">
        <v>70</v>
      </c>
      <c r="P13" s="20"/>
    </row>
    <row r="14" spans="1:26" ht="22" x14ac:dyDescent="0.5">
      <c r="K14" s="26">
        <v>101</v>
      </c>
      <c r="L14" s="21" t="s">
        <v>52</v>
      </c>
      <c r="M14" s="22" t="str">
        <f>VLOOKUP(K14,K1:N7,3,0)</f>
        <v>Tech</v>
      </c>
      <c r="N14" s="22">
        <f>VLOOKUP(K14,K1:N7,4,0)</f>
        <v>50000</v>
      </c>
      <c r="O14" s="22">
        <f>VLOOKUP(K14,K1:O7,5,0)</f>
        <v>10000</v>
      </c>
      <c r="P14" s="20"/>
    </row>
    <row r="15" spans="1:26" ht="22" x14ac:dyDescent="0.5">
      <c r="K15" s="26">
        <v>102</v>
      </c>
      <c r="L15" s="21" t="s">
        <v>54</v>
      </c>
      <c r="M15" s="22" t="str">
        <f t="shared" ref="M15:M19" si="0">VLOOKUP(K15,K2:N8,3,0)</f>
        <v>HR</v>
      </c>
      <c r="N15" s="22">
        <f t="shared" ref="N15:N19" si="1">VLOOKUP(K15,K2:N8,4,0)</f>
        <v>40000</v>
      </c>
      <c r="O15" s="22">
        <f t="shared" ref="O15:O19" si="2">VLOOKUP(K15,K2:O8,5,0)</f>
        <v>5000</v>
      </c>
      <c r="P15" s="20"/>
    </row>
    <row r="16" spans="1:26" ht="22" x14ac:dyDescent="0.5">
      <c r="K16" s="26">
        <v>103</v>
      </c>
      <c r="L16" s="21" t="s">
        <v>56</v>
      </c>
      <c r="M16" s="22" t="str">
        <f t="shared" si="0"/>
        <v>Design</v>
      </c>
      <c r="N16" s="22">
        <f t="shared" si="1"/>
        <v>45000</v>
      </c>
      <c r="O16" s="22">
        <f t="shared" si="2"/>
        <v>7000</v>
      </c>
      <c r="P16" s="20"/>
    </row>
    <row r="17" spans="11:16" ht="22" x14ac:dyDescent="0.5">
      <c r="K17" s="26">
        <v>104</v>
      </c>
      <c r="L17" s="21" t="s">
        <v>58</v>
      </c>
      <c r="M17" s="22" t="str">
        <f t="shared" si="0"/>
        <v>Tech</v>
      </c>
      <c r="N17" s="22">
        <f t="shared" si="1"/>
        <v>55000</v>
      </c>
      <c r="O17" s="22">
        <f t="shared" si="2"/>
        <v>10000</v>
      </c>
      <c r="P17" s="20"/>
    </row>
    <row r="18" spans="11:16" ht="22" x14ac:dyDescent="0.5">
      <c r="K18" s="26">
        <v>105</v>
      </c>
      <c r="L18" s="21" t="s">
        <v>60</v>
      </c>
      <c r="M18" s="22" t="str">
        <f t="shared" si="0"/>
        <v>HR</v>
      </c>
      <c r="N18" s="22">
        <f t="shared" si="1"/>
        <v>42000</v>
      </c>
      <c r="O18" s="22">
        <f t="shared" si="2"/>
        <v>5000</v>
      </c>
      <c r="P18" s="20"/>
    </row>
    <row r="19" spans="11:16" ht="22" x14ac:dyDescent="0.5">
      <c r="K19" s="26">
        <v>106</v>
      </c>
      <c r="L19" s="21" t="s">
        <v>38</v>
      </c>
      <c r="M19" s="22" t="str">
        <f t="shared" si="0"/>
        <v>Tech</v>
      </c>
      <c r="N19" s="22">
        <f t="shared" si="1"/>
        <v>60000</v>
      </c>
      <c r="O19" s="22">
        <f t="shared" si="2"/>
        <v>10000</v>
      </c>
      <c r="P19" s="20"/>
    </row>
    <row r="20" spans="11:16" x14ac:dyDescent="0.35">
      <c r="K20" s="20"/>
      <c r="L20" s="20"/>
      <c r="M20" s="20"/>
      <c r="N20" s="20"/>
      <c r="O20" s="20"/>
      <c r="P20" s="20"/>
    </row>
  </sheetData>
  <sortState xmlns:xlrd2="http://schemas.microsoft.com/office/spreadsheetml/2017/richdata2" ref="C2:E8">
    <sortCondition ref="C1:C8"/>
  </sortState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Sahu</dc:creator>
  <cp:lastModifiedBy>Hitesh Sahu</cp:lastModifiedBy>
  <dcterms:created xsi:type="dcterms:W3CDTF">2026-04-06T02:33:37Z</dcterms:created>
  <dcterms:modified xsi:type="dcterms:W3CDTF">2026-04-06T05:30:30Z</dcterms:modified>
</cp:coreProperties>
</file>